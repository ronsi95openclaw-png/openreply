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ed4a85d3bb4b93" /></Relationships>
</file>

<file path=xl/workbook.xml><?xml version="1.0" encoding="utf-8"?>
<x:workbook xmlns:x="http://schemas.openxmlformats.org/spreadsheetml/2006/main">
  <x:sheets>
    <x:sheet xmlns:r="http://schemas.openxmlformats.org/officeDocument/2006/relationships" name="START HERE" sheetId="1" r:id="R890949fda3df4d31"/>
    <x:sheet xmlns:r="http://schemas.openxmlformats.org/officeDocument/2006/relationships" name="DAILY INPUT" sheetId="2" r:id="R71022970fd0644a5"/>
    <x:sheet xmlns:r="http://schemas.openxmlformats.org/officeDocument/2006/relationships" name="OPS CHECK" sheetId="3" r:id="Re4f3f2823c4b4b18"/>
    <x:sheet xmlns:r="http://schemas.openxmlformats.org/officeDocument/2006/relationships" name="AI PROMPT" sheetId="4" r:id="R6f311cd0ed5544a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mm/dd/yyyy"/>
    <x:numFmt numFmtId="201" formatCode="$#,##0.00"/>
    <x:numFmt numFmtId="202" formatCode="0.0%"/>
    <x:numFmt numFmtId="203" formatCode="0.0"/>
  </x:numFmts>
  <x:fonts count="12">
    <x:font>
      <x:sz val="11"/>
      <x:name val="Carlito"/>
    </x:font>
    <x:font>
      <x:b/>
      <x:sz val="20"/>
      <x:color rgb="FFFFFFFF"/>
      <x:name val="Carlito"/>
    </x:font>
    <x:font>
      <x:i/>
      <x:sz val="11"/>
      <x:color rgb="FF1F1F1F"/>
      <x:name val="Carlito"/>
    </x:font>
    <x:font>
      <x:b/>
      <x:sz val="12"/>
      <x:color rgb="FFFFFFFF"/>
      <x:name val="Carlito"/>
    </x:font>
    <x:font>
      <x:b/>
      <x:sz val="11"/>
      <x:color rgb="FF1F1F1F"/>
      <x:name val="Carlito"/>
    </x:font>
    <x:font>
      <x:sz val="11"/>
      <x:color rgb="FF1F1F1F"/>
      <x:name val="Carlito"/>
    </x:font>
    <x:font>
      <x:sz val="10"/>
      <x:color rgb="FF1F1F1F"/>
      <x:name val="Carlito"/>
    </x:font>
    <x:font>
      <x:b/>
      <x:sz val="14"/>
      <x:color rgb="FF11423D"/>
      <x:name val="Carlito"/>
    </x:font>
    <x:font>
      <x:b/>
      <x:sz val="18"/>
      <x:color rgb="FFFFFFFF"/>
      <x:name val="Carlito"/>
    </x:font>
    <x:font>
      <x:b/>
      <x:sz val="11"/>
      <x:color rgb="FFFFFFFF"/>
      <x:name val="Carlito"/>
    </x:font>
    <x:font>
      <x:i/>
      <x:sz val="11"/>
      <x:color rgb="FF6B7280"/>
      <x:name val="Carlito"/>
    </x:font>
    <x:font>
      <x:b/>
      <x:sz val="11"/>
      <x:name val="Carlito"/>
    </x:font>
  </x:fonts>
  <x:fills count="11">
    <x:fill>
      <x:patternFill patternType="none"/>
    </x:fill>
    <x:fill>
      <x:patternFill patternType="gray125"/>
    </x:fill>
    <x:fill>
      <x:patternFill patternType="solid">
        <x:fgColor rgb="FF11423D"/>
      </x:patternFill>
    </x:fill>
    <x:fill>
      <x:patternFill patternType="solid">
        <x:fgColor rgb="FFF8F0E6"/>
      </x:patternFill>
    </x:fill>
    <x:fill>
      <x:patternFill patternType="solid">
        <x:fgColor rgb="FF1C3529"/>
      </x:patternFill>
    </x:fill>
    <x:fill>
      <x:patternFill patternType="solid">
        <x:fgColor rgb="FFA86014"/>
      </x:patternFill>
    </x:fill>
    <x:fill>
      <x:patternFill patternType="solid">
        <x:fgColor rgb="FFB63F30"/>
      </x:patternFill>
    </x:fill>
    <x:fill>
      <x:patternFill patternType="solid">
        <x:fgColor rgb="FFFBE6E3"/>
      </x:patternFill>
    </x:fill>
    <x:fill>
      <x:patternFill patternType="solid">
        <x:fgColor rgb="FFF3F4F6"/>
      </x:patternFill>
    </x:fill>
    <x:fill>
      <x:patternFill patternType="solid">
        <x:fgColor rgb="FFEAF2EE"/>
      </x:patternFill>
    </x:fill>
    <x:fill>
      <x:patternFill patternType="solid">
        <x:fgColor rgb="FFF8EBDD"/>
      </x:patternFill>
    </x:fill>
  </x:fills>
  <x:borders count="2">
    <x:border/>
    <x:border/>
  </x:borders>
  <x:cellStyleXfs count="1">
    <x:xf numFmtId="0" fontId="0" fillId="0" borderId="0"/>
  </x:cellStyleXfs>
  <x:cellXfs count="1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7" fillId="3" borderId="1" xfId="0" applyNumberFormat="1" applyFont="1" applyFill="1" applyBorder="1"/>
    <x:xf numFmtId="0" fontId="7" fillId="3" borderId="1" xfId="0" applyNumberFormat="1" applyFont="1" applyFill="1" applyBorder="1" applyAlignment="1">
      <x:alignment horizontal="center"/>
    </x:xf>
    <x:xf numFmtId="0" fontId="7" fillId="3" borderId="1" xfId="0" applyNumberFormat="1" applyFont="1" applyFill="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horizontal="center" wrapText="1"/>
    </x:xf>
    <x:xf numFmtId="0" fontId="6" fillId="0" borderId="0" xfId="0" applyNumberFormat="1" applyFont="1" applyFill="1" applyBorder="1" applyAlignment="1">
      <x:alignment horizontal="center" vertical="center"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horizontal="center" wrapText="1"/>
    </x:xf>
    <x:xf numFmtId="0" fontId="6" fillId="0" borderId="1" xfId="0" applyNumberFormat="1" applyFont="1" applyFill="1" applyBorder="1" applyAlignment="1">
      <x:alignment horizontal="center" vertical="center" wrapText="1"/>
    </x:xf>
    <x:xf numFmtId="0" fontId="8" fillId="2" borderId="0" xfId="0" applyNumberFormat="1" applyFont="1" applyFill="1" applyBorder="1"/>
    <x:xf numFmtId="0" fontId="8" fillId="2" borderId="0" xfId="0" applyNumberFormat="1" applyFont="1" applyFill="1" applyBorder="1" applyAlignment="1">
      <x:alignment vertical="center"/>
    </x:xf>
    <x:xf numFmtId="0" fontId="8" fillId="2" borderId="1" xfId="0" applyNumberFormat="1" applyFont="1" applyFill="1" applyBorder="1"/>
    <x:xf numFmtId="0" fontId="8" fillId="2" borderId="1" xfId="0" applyNumberFormat="1" applyFont="1" applyFill="1" applyBorder="1" applyAlignment="1">
      <x:alignment vertical="center"/>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9" fillId="4" borderId="0" xfId="0" applyNumberFormat="1" applyFont="1" applyFill="1" applyBorder="1"/>
    <x:xf numFmtId="0" fontId="9" fillId="4" borderId="0" xfId="0" applyNumberFormat="1" applyFont="1" applyFill="1" applyBorder="1" applyAlignment="1">
      <x:alignment horizontal="center"/>
    </x:xf>
    <x:xf numFmtId="0" fontId="9" fillId="4" borderId="1" xfId="0" applyNumberFormat="1" applyFont="1" applyFill="1" applyBorder="1"/>
    <x:xf numFmtId="0" fontId="9" fillId="4" borderId="1" xfId="0" applyNumberFormat="1" applyFont="1" applyFill="1" applyBorder="1" applyAlignment="1">
      <x:alignment horizontal="center"/>
    </x:xf>
    <x:xf numFmtId="0" fontId="0" fillId="8" borderId="0" xfId="0" applyNumberFormat="1" applyFont="1" applyFill="1" applyBorder="1"/>
    <x:xf numFmtId="0" fontId="4" fillId="8" borderId="0" xfId="0" applyNumberFormat="1" applyFont="1" applyFill="1" applyBorder="1"/>
    <x:xf numFmtId="0" fontId="0" fillId="8" borderId="1" xfId="0" applyNumberFormat="1" applyFont="1" applyFill="1" applyBorder="1"/>
    <x:xf numFmtId="0" fontId="4" fillId="8"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1" xfId="0" applyNumberFormat="1" applyFont="1" applyFill="1" applyBorder="1"/>
    <x:xf numFmtId="0" fontId="10" fillId="0" borderId="1"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0" fillId="9" borderId="1" xfId="0" applyNumberFormat="1" applyFont="1" applyFill="1" applyBorder="1"/>
    <x:xf numFmtId="0" fontId="4" fillId="9" borderId="1"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0" fillId="10" borderId="1" xfId="0" applyNumberFormat="1" applyFont="1" applyFill="1" applyBorder="1"/>
    <x:xf numFmtId="0" fontId="4" fillId="10" borderId="1"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200" fontId="5" fillId="3" borderId="0" xfId="0" applyNumberFormat="1" applyFont="1" applyFill="1" applyBorder="1"/>
    <x:xf numFmtId="200" fontId="5" fillId="3" borderId="1" xfId="0" applyNumberFormat="1" applyFont="1" applyFill="1" applyBorder="1"/>
    <x:xf numFmtId="201" fontId="5" fillId="3" borderId="0" xfId="0" applyNumberFormat="1" applyFont="1" applyFill="1" applyBorder="1"/>
    <x:xf numFmtId="201" fontId="5" fillId="3" borderId="1" xfId="0" applyNumberFormat="1" applyFont="1" applyFill="1" applyBorder="1"/>
    <x:xf numFmtId="202" fontId="5" fillId="3" borderId="0" xfId="0" applyNumberFormat="1" applyFont="1" applyFill="1" applyBorder="1"/>
    <x:xf numFmtId="202" fontId="5" fillId="3" borderId="1" xfId="0" applyNumberFormat="1" applyFont="1" applyFill="1" applyBorder="1"/>
    <x:xf numFmtId="203" fontId="5" fillId="3" borderId="0" xfId="0" applyNumberFormat="1" applyFont="1" applyFill="1" applyBorder="1"/>
    <x:xf numFmtId="203" fontId="5" fillId="3" borderId="1" xfId="0" applyNumberFormat="1" applyFont="1" applyFill="1" applyBorder="1"/>
    <x:xf numFmtId="0" fontId="0" fillId="0" borderId="0" xfId="0" applyNumberFormat="1" applyFont="1" applyFill="1" applyBorder="1"/>
    <x:xf numFmtId="0" fontId="4" fillId="8" borderId="0" xfId="0" applyNumberFormat="1" applyFont="1" applyFill="1" applyBorder="1" applyAlignment="1">
      <x:alignment wrapText="1"/>
    </x:xf>
    <x:xf numFmtId="0" fontId="0" fillId="0" borderId="0" xfId="0" applyNumberFormat="1" applyFont="1" applyFill="1" applyBorder="1" applyAlignment="1">
      <x:alignment wrapText="1"/>
    </x:xf>
    <x:xf numFmtId="200" fontId="5"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4" fillId="9" borderId="0" xfId="0" applyNumberFormat="1" applyFont="1" applyFill="1" applyBorder="1" applyAlignment="1">
      <x:alignment wrapText="1"/>
    </x:xf>
    <x:xf numFmtId="201" fontId="5" fillId="3" borderId="0" xfId="0" applyNumberFormat="1" applyFont="1" applyFill="1" applyBorder="1" applyAlignment="1">
      <x:alignment wrapText="1"/>
    </x:xf>
    <x:xf numFmtId="0" fontId="4" fillId="10" borderId="0" xfId="0" applyNumberFormat="1" applyFont="1" applyFill="1" applyBorder="1" applyAlignment="1">
      <x:alignment wrapText="1"/>
    </x:xf>
    <x:xf numFmtId="202" fontId="5" fillId="3" borderId="0" xfId="0" applyNumberFormat="1" applyFont="1" applyFill="1" applyBorder="1" applyAlignment="1">
      <x:alignment wrapText="1"/>
    </x:xf>
    <x:xf numFmtId="203" fontId="5" fillId="3" borderId="0" xfId="0" applyNumberFormat="1" applyFont="1" applyFill="1" applyBorder="1" applyAlignment="1">
      <x:alignment wrapText="1"/>
    </x:xf>
    <x:xf numFmtId="0" fontId="4" fillId="7" borderId="0" xfId="0" applyNumberFormat="1" applyFont="1" applyFill="1" applyBorder="1" applyAlignment="1">
      <x:alignment wrapText="1"/>
    </x:xf>
    <x:xf numFmtId="0" fontId="4" fillId="3" borderId="0" xfId="0" applyNumberFormat="1" applyFont="1" applyFill="1" applyBorder="1" applyAlignment="1">
      <x:alignment wrapText="1"/>
    </x:xf>
    <x:xf numFmtId="0" fontId="4" fillId="8" borderId="1" xfId="0" applyNumberFormat="1" applyFont="1" applyFill="1" applyBorder="1" applyAlignment="1">
      <x:alignment wrapText="1"/>
    </x:xf>
    <x:xf numFmtId="0" fontId="0" fillId="0" borderId="1" xfId="0" applyNumberFormat="1" applyFont="1" applyFill="1" applyBorder="1" applyAlignment="1">
      <x:alignment wrapText="1"/>
    </x:xf>
    <x:xf numFmtId="200" fontId="5" fillId="3" borderId="1" xfId="0" applyNumberFormat="1" applyFont="1" applyFill="1" applyBorder="1" applyAlignment="1">
      <x:alignment wrapText="1"/>
    </x:xf>
    <x:xf numFmtId="0" fontId="5" fillId="3" borderId="1" xfId="0" applyNumberFormat="1" applyFont="1" applyFill="1" applyBorder="1" applyAlignment="1">
      <x:alignment wrapText="1"/>
    </x:xf>
    <x:xf numFmtId="0" fontId="4" fillId="9" borderId="1" xfId="0" applyNumberFormat="1" applyFont="1" applyFill="1" applyBorder="1" applyAlignment="1">
      <x:alignment wrapText="1"/>
    </x:xf>
    <x:xf numFmtId="201" fontId="5" fillId="3" borderId="1" xfId="0" applyNumberFormat="1" applyFont="1" applyFill="1" applyBorder="1" applyAlignment="1">
      <x:alignment wrapText="1"/>
    </x:xf>
    <x:xf numFmtId="0" fontId="4" fillId="10" borderId="1" xfId="0" applyNumberFormat="1" applyFont="1" applyFill="1" applyBorder="1" applyAlignment="1">
      <x:alignment wrapText="1"/>
    </x:xf>
    <x:xf numFmtId="202" fontId="5" fillId="3" borderId="1" xfId="0" applyNumberFormat="1" applyFont="1" applyFill="1" applyBorder="1" applyAlignment="1">
      <x:alignment wrapText="1"/>
    </x:xf>
    <x:xf numFmtId="203" fontId="5" fillId="3" borderId="1" xfId="0" applyNumberFormat="1" applyFont="1" applyFill="1" applyBorder="1" applyAlignment="1">
      <x:alignment wrapText="1"/>
    </x:xf>
    <x:xf numFmtId="0" fontId="4" fillId="7" borderId="1" xfId="0" applyNumberFormat="1" applyFont="1" applyFill="1" applyBorder="1" applyAlignment="1">
      <x:alignment wrapText="1"/>
    </x:xf>
    <x:xf numFmtId="0" fontId="4" fillId="3" borderId="1" xfId="0" applyNumberFormat="1" applyFont="1" applyFill="1" applyBorder="1" applyAlignment="1">
      <x:alignment wrapText="1"/>
    </x:xf>
    <x:xf numFmtId="0" fontId="0" fillId="0" borderId="0" xfId="0" applyNumberFormat="1" applyFont="1" applyFill="1" applyBorder="1" applyAlignment="1">
      <x:alignment horizontal="right"/>
    </x:xf>
    <x:xf numFmtId="0" fontId="0" fillId="0" borderId="1" xfId="0" applyNumberFormat="1" applyFont="1" applyFill="1" applyBorder="1" applyAlignment="1">
      <x:alignment horizontal="right"/>
    </x:xf>
    <x:xf numFmtId="0" fontId="11" fillId="0" borderId="0" xfId="0" applyNumberFormat="1" applyFont="1" applyFill="1" applyBorder="1"/>
    <x:xf numFmtId="0" fontId="11" fillId="0" borderId="0" xfId="0" applyNumberFormat="1" applyFont="1" applyFill="1" applyBorder="1" applyAlignment="1">
      <x:alignment horizontal="center"/>
    </x:xf>
    <x:xf numFmtId="0" fontId="11" fillId="0" borderId="1" xfId="0" applyNumberFormat="1" applyFont="1" applyFill="1" applyBorder="1"/>
    <x:xf numFmtId="0" fontId="11" fillId="0" borderId="1" xfId="0" applyNumberFormat="1" applyFont="1" applyFill="1" applyBorder="1" applyAlignment="1">
      <x:alignment horizontal="center"/>
    </x:xf>
    <x:xf numFmtId="201" fontId="0" fillId="0" borderId="0" xfId="0" applyNumberFormat="1" applyFont="1" applyFill="1" applyBorder="1" applyAlignment="1">
      <x:alignment horizontal="right"/>
    </x:xf>
    <x:xf numFmtId="201" fontId="0" fillId="0" borderId="1" xfId="0" applyNumberFormat="1" applyFont="1" applyFill="1" applyBorder="1" applyAlignment="1">
      <x:alignment horizontal="right"/>
    </x:xf>
    <x:xf numFmtId="202" fontId="0" fillId="0" borderId="0" xfId="0" applyNumberFormat="1" applyFont="1" applyFill="1" applyBorder="1" applyAlignment="1">
      <x:alignment horizontal="right"/>
    </x:xf>
    <x:xf numFmtId="202" fontId="0" fillId="0" borderId="1" xfId="0" applyNumberFormat="1" applyFont="1" applyFill="1" applyBorder="1" applyAlignment="1">
      <x:alignment horizontal="right"/>
    </x:xf>
    <x:xf numFmtId="203" fontId="0" fillId="0" borderId="0" xfId="0" applyNumberFormat="1" applyFont="1" applyFill="1" applyBorder="1" applyAlignment="1">
      <x:alignment horizontal="right"/>
    </x:xf>
    <x:xf numFmtId="203" fontId="0" fillId="0" borderId="1" xfId="0" applyNumberFormat="1" applyFont="1" applyFill="1" applyBorder="1" applyAlignment="1">
      <x:alignment horizontal="right"/>
    </x:xf>
    <x:xf numFmtId="0" fontId="9" fillId="6" borderId="0" xfId="0" applyNumberFormat="1" applyFont="1" applyFill="1" applyBorder="1"/>
    <x:xf numFmtId="0" fontId="9" fillId="6" borderId="1"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6" fillId="8" borderId="1" xfId="0" applyNumberFormat="1" applyFont="1" applyFill="1" applyBorder="1"/>
    <x:xf numFmtId="0" fontId="6" fillId="8" borderId="1" xfId="0" applyNumberFormat="1" applyFont="1" applyFill="1" applyBorder="1" applyAlignment="1">
      <x:alignment wrapText="1"/>
    </x:xf>
    <x:xf numFmtId="0" fontId="6" fillId="8" borderId="1" xfId="0" applyNumberFormat="1" applyFont="1" applyFill="1" applyBorder="1" applyAlignment="1">
      <x:alignment vertical="top" wrapText="1"/>
    </x:xf>
    <x:xf numFmtId="201" fontId="5" fillId="0" borderId="0" xfId="0" applyNumberFormat="1" applyFont="1" applyFill="1" applyBorder="1" applyAlignment="1">
      <x:alignment wrapText="1"/>
    </x:xf>
    <x:xf numFmtId="201" fontId="5" fillId="0" borderId="1" xfId="0" applyNumberFormat="1" applyFont="1" applyFill="1" applyBorder="1" applyAlignment="1">
      <x:alignment wrapText="1"/>
    </x:xf>
    <x:xf numFmtId="202" fontId="5" fillId="0" borderId="0" xfId="0" applyNumberFormat="1" applyFont="1" applyFill="1" applyBorder="1" applyAlignment="1">
      <x:alignment wrapText="1"/>
    </x:xf>
    <x:xf numFmtId="202" fontId="5" fillId="0" borderId="1" xfId="0" applyNumberFormat="1" applyFont="1" applyFill="1" applyBorder="1" applyAlignment="1">
      <x:alignment wrapText="1"/>
    </x:xf>
    <x:xf numFmtId="203" fontId="5" fillId="0" borderId="0" xfId="0" applyNumberFormat="1" applyFont="1" applyFill="1" applyBorder="1" applyAlignment="1">
      <x:alignment wrapText="1"/>
    </x:xf>
    <x:xf numFmtId="203" fontId="5" fillId="0" borderId="1" xfId="0" applyNumberFormat="1" applyFont="1" applyFill="1" applyBorder="1" applyAlignment="1">
      <x:alignment wrapText="1"/>
    </x:xf>
    <x:xf numFmtId="200" fontId="5" fillId="0" borderId="0" xfId="0" applyNumberFormat="1" applyFont="1" applyFill="1" applyBorder="1" applyAlignment="1">
      <x:alignment wrapText="1"/>
    </x:xf>
  </x:cellXfs>
  <x:cellStyles count="1">
    <x:cellStyle name="Normal" xfId="0"/>
  </x:cellStyles>
  <x:dxfs count="3">
    <x:dxf>
      <x:font>
        <x:b/>
        <x:color rgb="FFC83221"/>
      </x:font>
      <x:fill>
        <x:patternFill patternType="solid">
          <x:bgColor rgb="FFFBE6E3"/>
        </x:patternFill>
      </x:fill>
    </x:dxf>
    <x:dxf>
      <x:font>
        <x:b/>
        <x:color rgb="FF11423D"/>
      </x:font>
      <x:fill>
        <x:patternFill patternType="solid">
          <x:bgColor rgb="FFEAF2EE"/>
        </x:patternFill>
      </x:fill>
    </x:dxf>
    <x:dxf>
      <x:font>
        <x:b/>
        <x:color rgb="FFA86014"/>
      </x:font>
      <x:fill>
        <x:patternFill patternType="solid">
          <x:bgColor rgb="FFF8EB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eabf68371f4f5d" /><Relationship Type="http://schemas.openxmlformats.org/officeDocument/2006/relationships/theme" Target="/xl/theme/theme1.xml" Id="R26575b6631e644c3" /><Relationship Type="http://schemas.openxmlformats.org/officeDocument/2006/relationships/sharedStrings" Target="/xl/sharedStrings.xml" Id="R69bf800df741420c" /><Relationship Type="http://schemas.openxmlformats.org/officeDocument/2006/relationships/worksheet" Target="/xl/worksheets/sheet1.xml" Id="R890949fda3df4d31" /><Relationship Type="http://schemas.openxmlformats.org/officeDocument/2006/relationships/worksheet" Target="/xl/worksheets/sheet2.xml" Id="R71022970fd0644a5" /><Relationship Type="http://schemas.openxmlformats.org/officeDocument/2006/relationships/worksheet" Target="/xl/worksheets/sheet3.xml" Id="Re4f3f2823c4b4b18" /><Relationship Type="http://schemas.openxmlformats.org/officeDocument/2006/relationships/worksheet" Target="/xl/worksheets/sheet4.xml" Id="R6f311cd0ed5544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 t="str">
        <x:v>POUR&amp;PROMPT — DAILY OPS CHECK</x:v>
      </x:c>
      <x:c r="B1" s="5"/>
      <x:c r="C1" s="5"/>
      <x:c r="D1" s="5"/>
      <x:c r="E1" s="5"/>
      <x:c r="F1" s="5"/>
      <x:c r="G1" s="5"/>
      <x:c r="H1" s="5"/>
    </x:row>
    <x:row r="2">
      <x:c r="A2" s="5"/>
      <x:c r="B2" s="5"/>
      <x:c r="C2" s="5"/>
      <x:c r="D2" s="5"/>
      <x:c r="E2" s="5"/>
      <x:c r="F2" s="5"/>
      <x:c r="G2" s="5"/>
      <x:c r="H2" s="5"/>
    </x:row>
    <x:row r="3">
      <x:c r="A3" s="12" t="str">
        <x:v>Turn yesterday’s restaurant numbers into today’s action list.</x:v>
      </x:c>
      <x:c r="B3" s="12"/>
      <x:c r="C3" s="12"/>
      <x:c r="D3" s="12"/>
      <x:c r="E3" s="12"/>
      <x:c r="F3" s="12"/>
      <x:c r="G3" s="12"/>
      <x:c r="H3" s="12"/>
    </x:row>
    <x:row r="5">
      <x:c r="A5" s="17" t="str">
        <x:v>HOW TO USE IT</x:v>
      </x:c>
      <x:c r="B5" s="17"/>
      <x:c r="C5" s="17"/>
      <x:c r="D5" s="17"/>
      <x:c r="E5" s="17"/>
      <x:c r="F5" s="17"/>
      <x:c r="G5" s="17"/>
      <x:c r="H5" s="17"/>
    </x:row>
    <x:row r="6">
      <x:c r="A6" s="23" t="str">
        <x:v>1</x:v>
      </x:c>
      <x:c r="B6" s="28" t="str">
        <x:v>Open DAILY INPUT</x:v>
      </x:c>
      <x:c r="C6" s="31" t="str">
        <x:v>Enter yesterday’s numbers and shift notes. Only the cream cells are meant for you.</x:v>
      </x:c>
    </x:row>
    <x:row r="7">
      <x:c r="A7" s="23" t="str">
        <x:v>2</x:v>
      </x:c>
      <x:c r="B7" s="28" t="str">
        <x:v>Review OPS CHECK</x:v>
      </x:c>
      <x:c r="C7" s="31" t="str">
        <x:v>The sheet calculates the core numbers and flags items that may need attention.</x:v>
      </x:c>
    </x:row>
    <x:row r="8">
      <x:c r="A8" s="23" t="str">
        <x:v>3</x:v>
      </x:c>
      <x:c r="B8" s="28" t="str">
        <x:v>Open AI PROMPT</x:v>
      </x:c>
      <x:c r="C8" s="31" t="str">
        <x:v>Copy the prompt plus your daily summary into ChatGPT for a plain-language manager review.</x:v>
      </x:c>
    </x:row>
    <x:row r="9">
      <x:c r="A9" s="23" t="str">
        <x:v>4</x:v>
      </x:c>
      <x:c r="B9" s="28" t="str">
        <x:v>Improve it over time</x:v>
      </x:c>
      <x:c r="C9" s="31" t="str">
        <x:v>Add your own targets so the check learns what “normal” means for your operation.</x:v>
      </x:c>
    </x:row>
    <x:row r="11">
      <x:c r="A11" s="35" t="str">
        <x:v>IMPORTANT</x:v>
      </x:c>
      <x:c r="B11" s="35"/>
      <x:c r="C11" s="35"/>
      <x:c r="D11" s="35"/>
      <x:c r="E11" s="35"/>
      <x:c r="F11" s="35"/>
      <x:c r="G11" s="35"/>
      <x:c r="H11" s="35"/>
    </x:row>
    <x:row r="12">
      <x:c r="A12" s="41" t="str">
        <x:v>This starter does not assume your restaurant’s benchmarks. If you do not enter a target, the sheet will show the number without calling it good or bad. That keeps the AI from inventing standards for your operation.</x:v>
      </x:c>
      <x:c r="B12" s="41"/>
      <x:c r="C12" s="41"/>
      <x:c r="D12" s="41"/>
      <x:c r="E12" s="41"/>
      <x:c r="F12" s="41"/>
      <x:c r="G12" s="41"/>
      <x:c r="H12" s="41"/>
    </x:row>
    <x:row r="13">
      <x:c r="A13" s="41"/>
      <x:c r="B13" s="41"/>
      <x:c r="C13" s="41"/>
      <x:c r="D13" s="41"/>
      <x:c r="E13" s="41"/>
      <x:c r="F13" s="41"/>
      <x:c r="G13" s="41"/>
      <x:c r="H13" s="41"/>
    </x:row>
    <x:row r="14">
      <x:c r="A14" s="41"/>
      <x:c r="B14" s="41"/>
      <x:c r="C14" s="41"/>
      <x:c r="D14" s="41"/>
      <x:c r="E14" s="41"/>
      <x:c r="F14" s="41"/>
      <x:c r="G14" s="41"/>
      <x:c r="H14" s="41"/>
    </x:row>
    <x:row r="15">
      <x:c r="A15" s="41"/>
      <x:c r="B15" s="41"/>
      <x:c r="C15" s="41"/>
      <x:c r="D15" s="41"/>
      <x:c r="E15" s="41"/>
      <x:c r="F15" s="41"/>
      <x:c r="G15" s="41"/>
      <x:c r="H15" s="41"/>
    </x:row>
    <x:row r="17">
      <x:c r="A17" s="48" t="str">
        <x:v>MANUAL FIRST. AUTOMATE LATER.</x:v>
      </x:c>
      <x:c r="B17" s="48"/>
      <x:c r="C17" s="48"/>
      <x:c r="D17" s="48"/>
      <x:c r="E17" s="48"/>
      <x:c r="F17" s="48"/>
      <x:c r="G17" s="48"/>
      <x:c r="H17" s="48"/>
    </x:row>
    <x:row r="18">
      <x:c r="A18" s="48"/>
      <x:c r="B18" s="48"/>
      <x:c r="C18" s="48"/>
      <x:c r="D18" s="48"/>
      <x:c r="E18" s="48"/>
      <x:c r="F18" s="48"/>
      <x:c r="G18" s="48"/>
      <x:c r="H18" s="48"/>
    </x:row>
    <x:row r="19">
      <x:c r="A19" s="55" t="str">
        <x:v>Start by using this manually for a few shifts. Once it is useful, the same workflow can be connected to your POS, schedule, email, and other tools so the report builds itself.</x:v>
      </x:c>
      <x:c r="B19" s="55"/>
      <x:c r="C19" s="55"/>
      <x:c r="D19" s="55"/>
      <x:c r="E19" s="55"/>
      <x:c r="F19" s="55"/>
      <x:c r="G19" s="55"/>
      <x:c r="H19" s="55"/>
    </x:row>
    <x:row r="20">
      <x:c r="A20" s="55"/>
      <x:c r="B20" s="55"/>
      <x:c r="C20" s="55"/>
      <x:c r="D20" s="55"/>
      <x:c r="E20" s="55"/>
      <x:c r="F20" s="55"/>
      <x:c r="G20" s="55"/>
      <x:c r="H20" s="55"/>
    </x:row>
    <x:row r="21">
      <x:c r="A21" s="55"/>
      <x:c r="B21" s="55"/>
      <x:c r="C21" s="55"/>
      <x:c r="D21" s="55"/>
      <x:c r="E21" s="55"/>
      <x:c r="F21" s="55"/>
      <x:c r="G21" s="55"/>
      <x:c r="H21" s="55"/>
    </x:row>
  </x:sheetData>
  <x:mergeCells>
    <x:mergeCell ref="A1:H2"/>
    <x:mergeCell ref="A3:H3"/>
    <x:mergeCell ref="A5:H5"/>
    <x:mergeCell ref="A11:H11"/>
    <x:mergeCell ref="A12:H15"/>
    <x:mergeCell ref="A17:H18"/>
    <x:mergeCell ref="A19:H2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2" hidden="0" customWidth="1"/>
    <x:col min="3" max="3" width="18" hidden="0" customWidth="1"/>
    <x:col min="4" max="4" width="34" hidden="0" customWidth="1"/>
  </x:cols>
  <x:sheetData>
    <x:row r="1">
      <x:c r="A1" s="61" t="str">
        <x:v>DAILY INPUT</x:v>
      </x:c>
      <x:c r="B1" s="61"/>
      <x:c r="C1" s="61"/>
      <x:c r="D1" s="61"/>
    </x:row>
    <x:row r="2">
      <x:c r="A2" s="61"/>
      <x:c r="B2" s="61"/>
      <x:c r="C2" s="61"/>
      <x:c r="D2" s="61"/>
    </x:row>
    <x:row r="3">
      <x:c r="A3" s="64" t="str">
        <x:v>Enter only what you have. Optional targets make the review more accurate.</x:v>
      </x:c>
      <x:c r="B3" s="64"/>
      <x:c r="C3" s="64"/>
      <x:c r="D3" s="64"/>
    </x:row>
    <x:row r="5">
      <x:c r="A5" s="67" t="str">
        <x:v>SECTION</x:v>
      </x:c>
      <x:c r="B5" s="67" t="str">
        <x:v>METRIC</x:v>
      </x:c>
      <x:c r="C5" s="67" t="str">
        <x:v>VALUE</x:v>
      </x:c>
      <x:c r="D5" s="67" t="str">
        <x:v>NOTES / TARGET</x:v>
      </x:c>
    </x:row>
    <x:row r="6">
      <x:c r="A6" s="101" t="str">
        <x:v>SHIFT</x:v>
      </x:c>
      <x:c r="B6" s="102" t="str">
        <x:v>Date</x:v>
      </x:c>
      <x:c r="C6" s="103" t="n">
        <x:v>46279</x:v>
      </x:c>
      <x:c r="D6" s="77" t="str">
        <x:v>Yesterday / shift date</x:v>
      </x:c>
    </x:row>
    <x:row r="7">
      <x:c r="A7" s="101" t="str">
        <x:v>SHIFT</x:v>
      </x:c>
      <x:c r="B7" s="102" t="str">
        <x:v>Location</x:v>
      </x:c>
      <x:c r="C7" s="104" t="str"/>
      <x:c r="D7" s="77" t="str">
        <x:v>Restaurant or location name</x:v>
      </x:c>
    </x:row>
    <x:row r="8">
      <x:c r="A8" s="105" t="str">
        <x:v>SALES</x:v>
      </x:c>
      <x:c r="B8" s="102" t="str">
        <x:v>Net Sales</x:v>
      </x:c>
      <x:c r="C8" s="106" t="str"/>
      <x:c r="D8" s="77" t="str">
        <x:v>Total net sales</x:v>
      </x:c>
    </x:row>
    <x:row r="9">
      <x:c r="A9" s="105" t="str">
        <x:v>SALES</x:v>
      </x:c>
      <x:c r="B9" s="102" t="str">
        <x:v>Sales Target</x:v>
      </x:c>
      <x:c r="C9" s="106" t="str"/>
      <x:c r="D9" s="77" t="str">
        <x:v>Optional</x:v>
      </x:c>
    </x:row>
    <x:row r="10">
      <x:c r="A10" s="107" t="str">
        <x:v>LABOR</x:v>
      </x:c>
      <x:c r="B10" s="102" t="str">
        <x:v>Labor Cost</x:v>
      </x:c>
      <x:c r="C10" s="106" t="str"/>
      <x:c r="D10" s="77" t="str">
        <x:v>Total labor dollars</x:v>
      </x:c>
    </x:row>
    <x:row r="11">
      <x:c r="A11" s="107" t="str">
        <x:v>LABOR</x:v>
      </x:c>
      <x:c r="B11" s="102" t="str">
        <x:v>Labor Target %</x:v>
      </x:c>
      <x:c r="C11" s="108" t="str"/>
      <x:c r="D11" s="77" t="str">
        <x:v>Optional — enter as %</x:v>
      </x:c>
    </x:row>
    <x:row r="12">
      <x:c r="A12" s="107" t="str">
        <x:v>LABOR</x:v>
      </x:c>
      <x:c r="B12" s="102" t="str">
        <x:v>Scheduled Hours</x:v>
      </x:c>
      <x:c r="C12" s="109" t="str"/>
      <x:c r="D12" s="77" t="str">
        <x:v>Scheduled total hours</x:v>
      </x:c>
    </x:row>
    <x:row r="13">
      <x:c r="A13" s="107" t="str">
        <x:v>LABOR</x:v>
      </x:c>
      <x:c r="B13" s="102" t="str">
        <x:v>Actual Hours</x:v>
      </x:c>
      <x:c r="C13" s="109" t="str"/>
      <x:c r="D13" s="77" t="str">
        <x:v>Worked total hours</x:v>
      </x:c>
    </x:row>
    <x:row r="14">
      <x:c r="A14" s="107" t="str">
        <x:v>LABOR</x:v>
      </x:c>
      <x:c r="B14" s="102" t="str">
        <x:v>Overtime Hours</x:v>
      </x:c>
      <x:c r="C14" s="109" t="str"/>
      <x:c r="D14" s="77" t="str">
        <x:v>Total OT hours</x:v>
      </x:c>
    </x:row>
    <x:row r="15">
      <x:c r="A15" s="107" t="str">
        <x:v>LABOR</x:v>
      </x:c>
      <x:c r="B15" s="102" t="str">
        <x:v>OT Alert Hours</x:v>
      </x:c>
      <x:c r="C15" s="109" t="str"/>
      <x:c r="D15" s="77" t="str">
        <x:v>Optional threshold</x:v>
      </x:c>
    </x:row>
    <x:row r="16">
      <x:c r="A16" s="110" t="str">
        <x:v>COMPS</x:v>
      </x:c>
      <x:c r="B16" s="102" t="str">
        <x:v>Comps</x:v>
      </x:c>
      <x:c r="C16" s="106" t="str"/>
      <x:c r="D16" s="77" t="str">
        <x:v>Total comp dollars</x:v>
      </x:c>
    </x:row>
    <x:row r="17">
      <x:c r="A17" s="110" t="str">
        <x:v>COMPS</x:v>
      </x:c>
      <x:c r="B17" s="102" t="str">
        <x:v>Comp Alert %</x:v>
      </x:c>
      <x:c r="C17" s="108" t="str"/>
      <x:c r="D17" s="77" t="str">
        <x:v>Optional — enter as % of sales</x:v>
      </x:c>
    </x:row>
    <x:row r="18">
      <x:c r="A18" s="110" t="str">
        <x:v>VOIDS</x:v>
      </x:c>
      <x:c r="B18" s="102" t="str">
        <x:v>Voids</x:v>
      </x:c>
      <x:c r="C18" s="106" t="str"/>
      <x:c r="D18" s="77" t="str">
        <x:v>Total void dollars</x:v>
      </x:c>
    </x:row>
    <x:row r="19">
      <x:c r="A19" s="110" t="str">
        <x:v>VOIDS</x:v>
      </x:c>
      <x:c r="B19" s="102" t="str">
        <x:v>Void Alert %</x:v>
      </x:c>
      <x:c r="C19" s="108" t="str"/>
      <x:c r="D19" s="77" t="str">
        <x:v>Optional — enter as % of sales</x:v>
      </x:c>
    </x:row>
    <x:row r="20">
      <x:c r="A20" s="110" t="str">
        <x:v>DISCOUNTS</x:v>
      </x:c>
      <x:c r="B20" s="102" t="str">
        <x:v>Discounts</x:v>
      </x:c>
      <x:c r="C20" s="106" t="str"/>
      <x:c r="D20" s="77" t="str">
        <x:v>Total discount dollars</x:v>
      </x:c>
    </x:row>
    <x:row r="21">
      <x:c r="A21" s="110" t="str">
        <x:v>DISCOUNTS</x:v>
      </x:c>
      <x:c r="B21" s="102" t="str">
        <x:v>Discount Alert %</x:v>
      </x:c>
      <x:c r="C21" s="108" t="str"/>
      <x:c r="D21" s="77" t="str">
        <x:v>Optional — enter as % of sales</x:v>
      </x:c>
    </x:row>
    <x:row r="22">
      <x:c r="A22" s="111" t="str">
        <x:v>OPERATIONS</x:v>
      </x:c>
      <x:c r="B22" s="102" t="str">
        <x:v>Call-outs</x:v>
      </x:c>
      <x:c r="C22" s="109" t="str"/>
      <x:c r="D22" s="77" t="str">
        <x:v>Number of call-outs</x:v>
      </x:c>
    </x:row>
    <x:row r="23">
      <x:c r="A23" s="111" t="str">
        <x:v>OPERATIONS</x:v>
      </x:c>
      <x:c r="B23" s="102" t="str">
        <x:v>86'd Items</x:v>
      </x:c>
      <x:c r="C23" s="104" t="str"/>
      <x:c r="D23" s="77" t="str">
        <x:v>Example: ribeye, Tito’s</x:v>
      </x:c>
    </x:row>
    <x:row r="24">
      <x:c r="A24" s="111" t="str">
        <x:v>OPERATIONS</x:v>
      </x:c>
      <x:c r="B24" s="102" t="str">
        <x:v>Inventory Issues</x:v>
      </x:c>
      <x:c r="C24" s="104" t="str"/>
      <x:c r="D24" s="77" t="str">
        <x:v>Counts, shortages, variances</x:v>
      </x:c>
    </x:row>
    <x:row r="25">
      <x:c r="A25" s="111" t="str">
        <x:v>OPERATIONS</x:v>
      </x:c>
      <x:c r="B25" s="102" t="str">
        <x:v>Maintenance Issues</x:v>
      </x:c>
      <x:c r="C25" s="104" t="str"/>
      <x:c r="D25" s="77" t="str">
        <x:v>Equipment / facility problems</x:v>
      </x:c>
    </x:row>
    <x:row r="26">
      <x:c r="A26" s="111" t="str">
        <x:v>OPERATIONS</x:v>
      </x:c>
      <x:c r="B26" s="102" t="str">
        <x:v>Guest Issues</x:v>
      </x:c>
      <x:c r="C26" s="104" t="str"/>
      <x:c r="D26" s="77" t="str">
        <x:v>Complaints, recoveries, incidents</x:v>
      </x:c>
    </x:row>
    <x:row r="27">
      <x:c r="A27" s="111" t="str">
        <x:v>OPERATIONS</x:v>
      </x:c>
      <x:c r="B27" s="102" t="str">
        <x:v>Manager Notes</x:v>
      </x:c>
      <x:c r="C27" s="104" t="str"/>
      <x:c r="D27" s="77" t="str">
        <x:v>What happened during the shift</x:v>
      </x:c>
    </x:row>
  </x:sheetData>
  <x:mergeCells>
    <x:mergeCell ref="A1:D2"/>
    <x:mergeCell ref="A3:D3"/>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16" hidden="0" customWidth="1"/>
    <x:col min="5" max="5" width="20" hidden="0" customWidth="1"/>
    <x:col min="6" max="6" width="14" hidden="0" customWidth="1"/>
    <x:col min="7" max="7" width="14" hidden="0" customWidth="1"/>
    <x:col min="8" max="8" width="14" hidden="0" customWidth="1"/>
  </x:cols>
  <x:sheetData>
    <x:row r="1">
      <x:c r="A1" s="61" t="str">
        <x:v>DAILY OPS CHECK</x:v>
      </x:c>
      <x:c r="B1" s="61"/>
      <x:c r="C1" s="61"/>
      <x:c r="D1" s="61"/>
      <x:c r="E1" s="61"/>
      <x:c r="F1" s="61"/>
      <x:c r="G1" s="61"/>
      <x:c r="H1" s="61"/>
    </x:row>
    <x:row r="2">
      <x:c r="A2" s="61"/>
      <x:c r="B2" s="61"/>
      <x:c r="C2" s="61"/>
      <x:c r="D2" s="61"/>
      <x:c r="E2" s="61"/>
      <x:c r="F2" s="61"/>
      <x:c r="G2" s="61"/>
      <x:c r="H2" s="61"/>
    </x:row>
    <x:row r="3">
      <x:c r="A3" s="90" t="str">
        <x:f>"Shift: "&amp;TEXT('DAILY INPUT'!C6,"mm/dd/yyyy")&amp;IF('DAILY INPUT'!C7&lt;&gt;"","  |  "&amp;'DAILY INPUT'!C7,"")</x:f>
        <x:v>Shift: 09/14/2026</x:v>
      </x:c>
      <x:c r="B3" s="90"/>
      <x:c r="C3" s="90"/>
      <x:c r="D3" s="90"/>
      <x:c r="E3" s="90"/>
      <x:c r="F3" s="90"/>
      <x:c r="G3" s="90"/>
      <x:c r="H3" s="90"/>
    </x:row>
    <x:row r="5">
      <x:c r="A5" s="67" t="str">
        <x:v>METRIC</x:v>
      </x:c>
      <x:c r="B5" s="67" t="str">
        <x:v>ACTUAL</x:v>
      </x:c>
      <x:c r="C5" s="67" t="str">
        <x:v>TARGET / NORMAL</x:v>
      </x:c>
      <x:c r="D5" s="67" t="str">
        <x:v>VARIANCE</x:v>
      </x:c>
      <x:c r="E5" s="67" t="str">
        <x:v>STATUS</x:v>
      </x:c>
      <x:c r="F5" t="str"/>
      <x:c r="G5" t="str"/>
      <x:c r="H5" t="str"/>
    </x:row>
    <x:row r="6">
      <x:c r="A6" s="28" t="str">
        <x:v>Net Sales</x:v>
      </x:c>
      <x:c r="B6" s="129" t="str">
        <x:f>'DAILY INPUT'!C8</x:f>
      </x:c>
      <x:c r="C6" s="129" t="str">
        <x:f>'DAILY INPUT'!C9</x:f>
      </x:c>
      <x:c r="D6" s="129" t="str">
        <x:f>IF(C6="","",B6-C6)</x:f>
      </x:c>
      <x:c r="E6" s="126" t="str">
        <x:f>IF(B6="","NO DATA",IF(C6="","NO TARGET",IF(B6&gt;=C6,"ON / ABOVE TARGET","BELOW TARGET")))</x:f>
        <x:v>NO DATA</x:v>
      </x:c>
    </x:row>
    <x:row r="7">
      <x:c r="A7" s="28" t="str">
        <x:v>Labor %</x:v>
      </x:c>
      <x:c r="B7" s="131" t="str">
        <x:f>IFERROR('DAILY INPUT'!C10/'DAILY INPUT'!C8,"")</x:f>
      </x:c>
      <x:c r="C7" s="131" t="str">
        <x:f>'DAILY INPUT'!C11</x:f>
      </x:c>
      <x:c r="D7" s="131" t="str">
        <x:f>IF(OR(B7="",C7=""),"",B7-C7)</x:f>
      </x:c>
      <x:c r="E7" s="126" t="str">
        <x:f>IF(B7="","NO DATA",IF(C7="","SET TARGET",IF(B7&lt;=C7,"ON TARGET","REVIEW")))</x:f>
        <x:v>NO DATA</x:v>
      </x:c>
    </x:row>
    <x:row r="8">
      <x:c r="A8" s="28" t="str">
        <x:v>Hours vs Schedule</x:v>
      </x:c>
      <x:c r="B8" s="133" t="str">
        <x:f>'DAILY INPUT'!C13</x:f>
      </x:c>
      <x:c r="C8" s="133" t="str">
        <x:f>'DAILY INPUT'!C12</x:f>
      </x:c>
      <x:c r="D8" s="133" t="str">
        <x:f>IF(OR(B8="",C8=""),"",B8-C8)</x:f>
      </x:c>
      <x:c r="E8" s="126" t="str">
        <x:f>IF(B8="","NO DATA",IF(C8="","NO SCHEDULE",IF(B8&lt;=C8,"ON / UNDER","OVER SCHEDULE")))</x:f>
        <x:v>NO DATA</x:v>
      </x:c>
    </x:row>
    <x:row r="9">
      <x:c r="A9" s="28" t="str">
        <x:v>Overtime Hours</x:v>
      </x:c>
      <x:c r="B9" s="133" t="str">
        <x:f>'DAILY INPUT'!C14</x:f>
      </x:c>
      <x:c r="C9" s="133" t="str">
        <x:f>'DAILY INPUT'!C15</x:f>
      </x:c>
      <x:c r="D9" s="133" t="str">
        <x:f>IF(OR(B9="",C9=""),"",B9-C9)</x:f>
      </x:c>
      <x:c r="E9" s="126" t="str">
        <x:f>IF(B9="","NO DATA",IF(C9="","SET ALERT",IF(B9&lt;=C9,"WITHIN ALERT","REVIEW")))</x:f>
        <x:v>NO DATA</x:v>
      </x:c>
    </x:row>
    <x:row r="10">
      <x:c r="A10" s="28" t="str">
        <x:v>Comps %</x:v>
      </x:c>
      <x:c r="B10" s="131" t="str">
        <x:f>IFERROR('DAILY INPUT'!C16/'DAILY INPUT'!C8,"")</x:f>
      </x:c>
      <x:c r="C10" s="131" t="str">
        <x:f>'DAILY INPUT'!C17</x:f>
      </x:c>
      <x:c r="D10" s="131" t="str">
        <x:f>IF(OR(B10="",C10=""),"",B10-C10)</x:f>
      </x:c>
      <x:c r="E10" s="126" t="str">
        <x:f>IF(B10="","NO DATA",IF(C10="","SET TARGET",IF(B10&lt;=C10,"WITHIN TARGET","REVIEW")))</x:f>
        <x:v>NO DATA</x:v>
      </x:c>
    </x:row>
    <x:row r="11">
      <x:c r="A11" s="28" t="str">
        <x:v>Voids %</x:v>
      </x:c>
      <x:c r="B11" s="131" t="str">
        <x:f>IFERROR('DAILY INPUT'!C18/'DAILY INPUT'!C8,"")</x:f>
      </x:c>
      <x:c r="C11" s="131" t="str">
        <x:f>'DAILY INPUT'!C19</x:f>
      </x:c>
      <x:c r="D11" s="131" t="str">
        <x:f>IF(OR(B11="",C11=""),"",B11-C11)</x:f>
      </x:c>
      <x:c r="E11" s="126" t="str">
        <x:f>IF(B11="","NO DATA",IF(C11="","SET TARGET",IF(B11&lt;=C11,"WITHIN TARGET","REVIEW")))</x:f>
        <x:v>NO DATA</x:v>
      </x:c>
    </x:row>
    <x:row r="12">
      <x:c r="A12" s="28" t="str">
        <x:v>Discounts %</x:v>
      </x:c>
      <x:c r="B12" s="131" t="str">
        <x:f>IFERROR('DAILY INPUT'!C20/'DAILY INPUT'!C8,"")</x:f>
      </x:c>
      <x:c r="C12" s="131" t="str">
        <x:f>'DAILY INPUT'!C21</x:f>
      </x:c>
      <x:c r="D12" s="131" t="str">
        <x:f>IF(OR(B12="",C12=""),"",B12-C12)</x:f>
      </x:c>
      <x:c r="E12" s="126" t="str">
        <x:f>IF(B12="","NO DATA",IF(C12="","SET TARGET",IF(B12&lt;=C12,"WITHIN TARGET","REVIEW")))</x:f>
        <x:v>NO DATA</x:v>
      </x:c>
    </x:row>
    <x:row r="14">
      <x:c r="A14" s="135" t="str">
        <x:v>WHAT NEEDS ATTENTION</x:v>
      </x:c>
      <x:c r="B14" s="135"/>
      <x:c r="C14" s="135"/>
      <x:c r="D14" s="135"/>
      <x:c r="E14" s="135"/>
      <x:c r="F14" s="135"/>
      <x:c r="G14" s="135"/>
      <x:c r="H14" s="135"/>
    </x:row>
    <x:row r="15">
      <x:c r="A15" s="28" t="str">
        <x:v>Labor</x:v>
      </x:c>
      <x:c r="B15" s="31" t="str">
        <x:f>IF(E7="NO DATA","No labor data entered.",IF(E7="SET TARGET","Labor % is calculated, but no labor target is set.",IF(E7="REVIEW","Labor is above the target you entered.","Labor is within the target you entered.")))</x:f>
        <x:v>No labor data entered.</x:v>
      </x:c>
      <x:c r="C15" s="31"/>
      <x:c r="D15" s="31"/>
      <x:c r="E15" s="31"/>
      <x:c r="F15" s="31"/>
      <x:c r="G15" s="31"/>
      <x:c r="H15" s="31"/>
    </x:row>
    <x:row r="16">
      <x:c r="A16" s="28" t="str">
        <x:v>Hours</x:v>
      </x:c>
      <x:c r="B16" s="31" t="str">
        <x:f>IF(E8="NO DATA","No actual-hours data entered.",IF(E8="NO SCHEDULE","Actual hours are entered, but scheduled hours are missing.",IF(E8="OVER SCHEDULE","Actual hours finished above scheduled hours.","Actual hours finished on or under scheduled hours.")))</x:f>
        <x:v>No actual-hours data entered.</x:v>
      </x:c>
      <x:c r="C16" s="31"/>
      <x:c r="D16" s="31"/>
      <x:c r="E16" s="31"/>
      <x:c r="F16" s="31"/>
      <x:c r="G16" s="31"/>
      <x:c r="H16" s="31"/>
    </x:row>
    <x:row r="17">
      <x:c r="A17" s="28" t="str">
        <x:v>Overtime</x:v>
      </x:c>
      <x:c r="B17" s="31" t="str">
        <x:f>IF(E9="NO DATA","No overtime data entered.",IF(E9="SET ALERT","Overtime is entered, but no alert level is set.",IF(E9="REVIEW","Overtime is above your alert level.","Overtime is within your alert level.")))</x:f>
        <x:v>No overtime data entered.</x:v>
      </x:c>
      <x:c r="C17" s="31"/>
      <x:c r="D17" s="31"/>
      <x:c r="E17" s="31"/>
      <x:c r="F17" s="31"/>
      <x:c r="G17" s="31"/>
      <x:c r="H17" s="31"/>
    </x:row>
    <x:row r="18">
      <x:c r="A18" s="28" t="str">
        <x:v>Comps</x:v>
      </x:c>
      <x:c r="B18" s="31" t="str">
        <x:f>IF(E10="NO DATA","No comp data entered.",IF(E10="SET TARGET","Comp % is calculated, but no comp target is set.",IF(E10="REVIEW","Comps are above your target percentage.","Comps are within your target percentage.")))</x:f>
        <x:v>No comp data entered.</x:v>
      </x:c>
      <x:c r="C18" s="31"/>
      <x:c r="D18" s="31"/>
      <x:c r="E18" s="31"/>
      <x:c r="F18" s="31"/>
      <x:c r="G18" s="31"/>
      <x:c r="H18" s="31"/>
    </x:row>
    <x:row r="19">
      <x:c r="A19" s="28" t="str">
        <x:v>Voids</x:v>
      </x:c>
      <x:c r="B19" s="31" t="str">
        <x:f>IF(E11="NO DATA","No void data entered.",IF(E11="SET TARGET","Void % is calculated, but no void target is set.",IF(E11="REVIEW","Voids are above your target percentage.","Voids are within your target percentage.")))</x:f>
        <x:v>No void data entered.</x:v>
      </x:c>
      <x:c r="C19" s="31"/>
      <x:c r="D19" s="31"/>
      <x:c r="E19" s="31"/>
      <x:c r="F19" s="31"/>
      <x:c r="G19" s="31"/>
      <x:c r="H19" s="31"/>
    </x:row>
    <x:row r="20">
      <x:c r="A20" s="28" t="str">
        <x:v>Discounts</x:v>
      </x:c>
      <x:c r="B20" s="31" t="str">
        <x:f>IF(E12="NO DATA","No discount data entered.",IF(E12="SET TARGET","Discount % is calculated, but no discount target is set.",IF(E12="REVIEW","Discounts are above your target percentage.","Discounts are within your target percentage.")))</x:f>
        <x:v>No discount data entered.</x:v>
      </x:c>
      <x:c r="C20" s="31"/>
      <x:c r="D20" s="31"/>
      <x:c r="E20" s="31"/>
      <x:c r="F20" s="31"/>
      <x:c r="G20" s="31"/>
      <x:c r="H20" s="31"/>
    </x:row>
    <x:row r="21">
      <x:c r="A21" s="100"/>
      <x:c r="B21" s="100"/>
      <x:c r="C21" s="100"/>
      <x:c r="D21" s="100"/>
      <x:c r="E21" s="100"/>
      <x:c r="F21" s="100"/>
      <x:c r="G21" s="100"/>
      <x:c r="H21" s="100"/>
    </x:row>
    <x:row r="22">
      <x:c r="A22" s="66" t="str">
        <x:v>SHIFT NOTES TO REVIEW</x:v>
      </x:c>
      <x:c r="B22" s="66"/>
      <x:c r="C22" s="66"/>
      <x:c r="D22" s="66"/>
      <x:c r="E22" s="66"/>
      <x:c r="F22" s="66"/>
      <x:c r="G22" s="66"/>
      <x:c r="H22" s="66"/>
    </x:row>
    <x:row r="23">
      <x:c r="A23" s="90" t="str">
        <x:v>Call-outs</x:v>
      </x:c>
      <x:c r="B23" s="31" t="str">
        <x:f>IF('DAILY INPUT'!C22="","",'DAILY INPUT'!C22)</x:f>
      </x:c>
      <x:c r="C23" s="31"/>
      <x:c r="D23" s="31"/>
      <x:c r="E23" s="31"/>
      <x:c r="F23" s="31"/>
      <x:c r="G23" s="31"/>
      <x:c r="H23" s="31"/>
    </x:row>
    <x:row r="24">
      <x:c r="A24" s="90" t="str">
        <x:v>86'd Items</x:v>
      </x:c>
      <x:c r="B24" s="31" t="str">
        <x:f>IF('DAILY INPUT'!C23="","",'DAILY INPUT'!C23)</x:f>
      </x:c>
      <x:c r="C24" s="31"/>
      <x:c r="D24" s="31"/>
      <x:c r="E24" s="31"/>
      <x:c r="F24" s="31"/>
      <x:c r="G24" s="31"/>
      <x:c r="H24" s="31"/>
    </x:row>
    <x:row r="25">
      <x:c r="A25" s="90" t="str">
        <x:v>Inventory Issues</x:v>
      </x:c>
      <x:c r="B25" s="31" t="str">
        <x:f>IF('DAILY INPUT'!C24="","",'DAILY INPUT'!C24)</x:f>
      </x:c>
      <x:c r="C25" s="31"/>
      <x:c r="D25" s="31"/>
      <x:c r="E25" s="31"/>
      <x:c r="F25" s="31"/>
      <x:c r="G25" s="31"/>
      <x:c r="H25" s="31"/>
    </x:row>
    <x:row r="26">
      <x:c r="A26" s="90" t="str">
        <x:v>Maintenance Issues</x:v>
      </x:c>
      <x:c r="B26" s="31" t="str">
        <x:f>IF('DAILY INPUT'!C25="","",'DAILY INPUT'!C25)</x:f>
      </x:c>
      <x:c r="C26" s="31"/>
      <x:c r="D26" s="31"/>
      <x:c r="E26" s="31"/>
      <x:c r="F26" s="31"/>
      <x:c r="G26" s="31"/>
      <x:c r="H26" s="31"/>
    </x:row>
    <x:row r="27">
      <x:c r="A27" s="90" t="str">
        <x:v>Guest Issues</x:v>
      </x:c>
      <x:c r="B27" s="31" t="str">
        <x:f>IF('DAILY INPUT'!C26="","",'DAILY INPUT'!C26)</x:f>
      </x:c>
      <x:c r="C27" s="31"/>
      <x:c r="D27" s="31"/>
      <x:c r="E27" s="31"/>
      <x:c r="F27" s="31"/>
      <x:c r="G27" s="31"/>
      <x:c r="H27" s="31"/>
    </x:row>
    <x:row r="28">
      <x:c r="A28" s="90" t="str">
        <x:v>Manager Notes</x:v>
      </x:c>
      <x:c r="B28" s="31" t="str">
        <x:f>IF('DAILY INPUT'!C27="","",'DAILY INPUT'!C27)</x:f>
      </x:c>
      <x:c r="C28" s="31"/>
      <x:c r="D28" s="31"/>
      <x:c r="E28" s="31"/>
      <x:c r="F28" s="31"/>
      <x:c r="G28" s="31"/>
      <x:c r="H28" s="31"/>
    </x:row>
  </x:sheetData>
  <x:mergeCells>
    <x:mergeCell ref="A1:H2"/>
    <x:mergeCell ref="A3:H3"/>
    <x:mergeCell ref="A14:H14"/>
    <x:mergeCell ref="B15:H15"/>
    <x:mergeCell ref="B16:H16"/>
    <x:mergeCell ref="B17:H17"/>
    <x:mergeCell ref="B18:H18"/>
    <x:mergeCell ref="B19:H19"/>
    <x:mergeCell ref="B20:H20"/>
    <x:mergeCell ref="A22:H22"/>
    <x:mergeCell ref="B23:H23"/>
    <x:mergeCell ref="B24:H24"/>
    <x:mergeCell ref="B25:H25"/>
    <x:mergeCell ref="B26:H26"/>
    <x:mergeCell ref="B27:H27"/>
    <x:mergeCell ref="B28:H28"/>
  </x:mergeCells>
  <x:conditionalFormatting sqref="E6:E12">
    <x:cfRule type="expression" dxfId="0" priority="1">
      <x:formula>OR(E6="REVIEW",E6="BELOW TARGET",E6="OVER SCHEDULE")</x:formula>
    </x:cfRule>
    <x:cfRule type="expression" dxfId="1" priority="2">
      <x:formula>OR(E6="ON / ABOVE TARGET",E6="ON TARGET",E6="ON / UNDER",E6="WITHIN ALERT",E6="WITHIN TARGET")</x:formula>
    </x:cfRule>
    <x:cfRule type="expression" dxfId="2" priority="3">
      <x:formula>OR(E6="SET TARGET",E6="SET ALERT",E6="NO TARGET",E6="NO SCHEDULE")</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61" t="str">
        <x:v>AI PROMPT — COPY INTO CHATGPT</x:v>
      </x:c>
      <x:c r="B1" s="61"/>
      <x:c r="C1" s="61"/>
      <x:c r="D1" s="61"/>
      <x:c r="E1" s="61"/>
      <x:c r="F1" s="61"/>
      <x:c r="G1" s="61"/>
      <x:c r="H1" s="61"/>
    </x:row>
    <x:row r="2">
      <x:c r="A2" s="61"/>
      <x:c r="B2" s="61"/>
      <x:c r="C2" s="61"/>
      <x:c r="D2" s="61"/>
      <x:c r="E2" s="61"/>
      <x:c r="F2" s="61"/>
      <x:c r="G2" s="61"/>
      <x:c r="H2" s="61"/>
    </x:row>
    <x:row r="3">
      <x:c r="A3" s="104" t="str">
        <x:v>Copy the prompt below into ChatGPT, then paste the DAILY SUMMARY underneath it. The goal is a short manager-level review, not a giant report.</x:v>
      </x:c>
      <x:c r="B3" s="104"/>
      <x:c r="C3" s="104"/>
      <x:c r="D3" s="104"/>
      <x:c r="E3" s="104"/>
      <x:c r="F3" s="104"/>
      <x:c r="G3" s="104"/>
      <x:c r="H3" s="104"/>
    </x:row>
    <x:row r="4">
      <x:c r="A4" s="104"/>
      <x:c r="B4" s="104"/>
      <x:c r="C4" s="104"/>
      <x:c r="D4" s="104"/>
      <x:c r="E4" s="104"/>
      <x:c r="F4" s="104"/>
      <x:c r="G4" s="104"/>
      <x:c r="H4" s="104"/>
    </x:row>
    <x:row r="6">
      <x:c r="A6" s="139" t="str">
        <x:v>You are my restaurant operations assistant.
Review the daily operating information I paste below.
Your job is to tell me, in plain restaurant language:
1. What looks unusual
2. What could be costing us money
3. What needs to be checked today
4. What looks normal and does not require attention
Do not invent benchmarks. If I did not provide a target or enough history, say that you need a benchmark before calling something good or bad.
Keep the answer short.
Use this format:
DAILY OPS CHECK
WHAT NEEDS ATTENTION
- Up to 5 items, highest priority first
WHAT LOOKS NORMAL
- Only items supported by the information provided
TODAY'S ACTIONS
- Up to 5 clear actions a manager can take today
QUESTIONS / MISSING INFO
- Only ask for information that would materially improve the review.</x:v>
      </x:c>
      <x:c r="B6" s="139"/>
      <x:c r="C6" s="139"/>
      <x:c r="D6" s="139"/>
      <x:c r="E6" s="139"/>
      <x:c r="F6" s="139"/>
      <x:c r="G6" s="139"/>
      <x:c r="H6" s="139"/>
    </x:row>
    <x:row r="7">
      <x:c r="A7" s="139"/>
      <x:c r="B7" s="139"/>
      <x:c r="C7" s="139"/>
      <x:c r="D7" s="139"/>
      <x:c r="E7" s="139"/>
      <x:c r="F7" s="139"/>
      <x:c r="G7" s="139"/>
      <x:c r="H7" s="139"/>
    </x:row>
    <x:row r="8">
      <x:c r="A8" s="139"/>
      <x:c r="B8" s="139"/>
      <x:c r="C8" s="139"/>
      <x:c r="D8" s="139"/>
      <x:c r="E8" s="139"/>
      <x:c r="F8" s="139"/>
      <x:c r="G8" s="139"/>
      <x:c r="H8" s="139"/>
    </x:row>
    <x:row r="9">
      <x:c r="A9" s="139"/>
      <x:c r="B9" s="139"/>
      <x:c r="C9" s="139"/>
      <x:c r="D9" s="139"/>
      <x:c r="E9" s="139"/>
      <x:c r="F9" s="139"/>
      <x:c r="G9" s="139"/>
      <x:c r="H9" s="139"/>
    </x:row>
    <x:row r="10">
      <x:c r="A10" s="139"/>
      <x:c r="B10" s="139"/>
      <x:c r="C10" s="139"/>
      <x:c r="D10" s="139"/>
      <x:c r="E10" s="139"/>
      <x:c r="F10" s="139"/>
      <x:c r="G10" s="139"/>
      <x:c r="H10" s="139"/>
    </x:row>
    <x:row r="11">
      <x:c r="A11" s="139"/>
      <x:c r="B11" s="139"/>
      <x:c r="C11" s="139"/>
      <x:c r="D11" s="139"/>
      <x:c r="E11" s="139"/>
      <x:c r="F11" s="139"/>
      <x:c r="G11" s="139"/>
      <x:c r="H11" s="139"/>
    </x:row>
    <x:row r="12">
      <x:c r="A12" s="139"/>
      <x:c r="B12" s="139"/>
      <x:c r="C12" s="139"/>
      <x:c r="D12" s="139"/>
      <x:c r="E12" s="139"/>
      <x:c r="F12" s="139"/>
      <x:c r="G12" s="139"/>
      <x:c r="H12" s="139"/>
    </x:row>
    <x:row r="13">
      <x:c r="A13" s="139"/>
      <x:c r="B13" s="139"/>
      <x:c r="C13" s="139"/>
      <x:c r="D13" s="139"/>
      <x:c r="E13" s="139"/>
      <x:c r="F13" s="139"/>
      <x:c r="G13" s="139"/>
      <x:c r="H13" s="139"/>
    </x:row>
    <x:row r="14">
      <x:c r="A14" s="139"/>
      <x:c r="B14" s="139"/>
      <x:c r="C14" s="139"/>
      <x:c r="D14" s="139"/>
      <x:c r="E14" s="139"/>
      <x:c r="F14" s="139"/>
      <x:c r="G14" s="139"/>
      <x:c r="H14" s="139"/>
    </x:row>
    <x:row r="15">
      <x:c r="A15" s="139"/>
      <x:c r="B15" s="139"/>
      <x:c r="C15" s="139"/>
      <x:c r="D15" s="139"/>
      <x:c r="E15" s="139"/>
      <x:c r="F15" s="139"/>
      <x:c r="G15" s="139"/>
      <x:c r="H15" s="139"/>
    </x:row>
    <x:row r="16">
      <x:c r="A16" s="139"/>
      <x:c r="B16" s="139"/>
      <x:c r="C16" s="139"/>
      <x:c r="D16" s="139"/>
      <x:c r="E16" s="139"/>
      <x:c r="F16" s="139"/>
      <x:c r="G16" s="139"/>
      <x:c r="H16" s="139"/>
    </x:row>
    <x:row r="17">
      <x:c r="A17" s="139"/>
      <x:c r="B17" s="139"/>
      <x:c r="C17" s="139"/>
      <x:c r="D17" s="139"/>
      <x:c r="E17" s="139"/>
      <x:c r="F17" s="139"/>
      <x:c r="G17" s="139"/>
      <x:c r="H17" s="139"/>
    </x:row>
    <x:row r="18">
      <x:c r="A18" s="139"/>
      <x:c r="B18" s="139"/>
      <x:c r="C18" s="139"/>
      <x:c r="D18" s="139"/>
      <x:c r="E18" s="139"/>
      <x:c r="F18" s="139"/>
      <x:c r="G18" s="139"/>
      <x:c r="H18" s="139"/>
    </x:row>
    <x:row r="19">
      <x:c r="A19" s="139"/>
      <x:c r="B19" s="139"/>
      <x:c r="C19" s="139"/>
      <x:c r="D19" s="139"/>
      <x:c r="E19" s="139"/>
      <x:c r="F19" s="139"/>
      <x:c r="G19" s="139"/>
      <x:c r="H19" s="139"/>
    </x:row>
    <x:row r="20">
      <x:c r="A20" s="139"/>
      <x:c r="B20" s="139"/>
      <x:c r="C20" s="139"/>
      <x:c r="D20" s="139"/>
      <x:c r="E20" s="139"/>
      <x:c r="F20" s="139"/>
      <x:c r="G20" s="139"/>
      <x:c r="H20" s="139"/>
    </x:row>
    <x:row r="22">
      <x:c r="A22" s="66" t="str">
        <x:v>DAILY SUMMARY — COPY THIS UNDER THE PROMPT</x:v>
      </x:c>
      <x:c r="B22" s="66"/>
      <x:c r="C22" s="66"/>
      <x:c r="D22" s="66"/>
      <x:c r="E22" s="66"/>
      <x:c r="F22" s="66"/>
      <x:c r="G22" s="66"/>
      <x:c r="H22" s="66"/>
    </x:row>
    <x:row r="23">
      <x:c r="A23" s="90" t="str">
        <x:v>Date</x:v>
      </x:c>
      <x:c r="B23" s="90"/>
      <x:c r="C23" s="149" t="n">
        <x:f>IF('DAILY INPUT'!C6="","",'DAILY INPUT'!C6)</x:f>
        <x:v>46279</x:v>
      </x:c>
      <x:c r="D23" s="31"/>
      <x:c r="E23" s="31"/>
      <x:c r="F23" s="31"/>
      <x:c r="G23" s="31"/>
      <x:c r="H23" s="31"/>
    </x:row>
    <x:row r="24">
      <x:c r="A24" s="90" t="str">
        <x:v>Location</x:v>
      </x:c>
      <x:c r="B24" s="90"/>
      <x:c r="C24" s="31" t="str">
        <x:f>IF('DAILY INPUT'!C7="","",'DAILY INPUT'!C7)</x:f>
      </x:c>
      <x:c r="D24" s="31"/>
      <x:c r="E24" s="31"/>
      <x:c r="F24" s="31"/>
      <x:c r="G24" s="31"/>
      <x:c r="H24" s="31"/>
    </x:row>
    <x:row r="25">
      <x:c r="A25" s="90" t="str">
        <x:v>Net Sales</x:v>
      </x:c>
      <x:c r="B25" s="90"/>
      <x:c r="C25" s="143" t="str">
        <x:f>IF('DAILY INPUT'!C8="","",'DAILY INPUT'!C8)</x:f>
      </x:c>
      <x:c r="D25" s="31"/>
      <x:c r="E25" s="31"/>
      <x:c r="F25" s="31"/>
      <x:c r="G25" s="31"/>
      <x:c r="H25" s="31"/>
    </x:row>
    <x:row r="26">
      <x:c r="A26" s="90" t="str">
        <x:v>Sales Target</x:v>
      </x:c>
      <x:c r="B26" s="90"/>
      <x:c r="C26" s="143" t="str">
        <x:f>IF('DAILY INPUT'!C9="","",'DAILY INPUT'!C9)</x:f>
      </x:c>
      <x:c r="D26" s="31"/>
      <x:c r="E26" s="31"/>
      <x:c r="F26" s="31"/>
      <x:c r="G26" s="31"/>
      <x:c r="H26" s="31"/>
    </x:row>
    <x:row r="27">
      <x:c r="A27" s="90" t="str">
        <x:v>Labor Cost</x:v>
      </x:c>
      <x:c r="B27" s="90"/>
      <x:c r="C27" s="143" t="str">
        <x:f>IF('DAILY INPUT'!C10="","",'DAILY INPUT'!C10)</x:f>
      </x:c>
      <x:c r="D27" s="31"/>
      <x:c r="E27" s="31"/>
      <x:c r="F27" s="31"/>
      <x:c r="G27" s="31"/>
      <x:c r="H27" s="31"/>
    </x:row>
    <x:row r="28">
      <x:c r="A28" s="90" t="str">
        <x:v>Labor Target %</x:v>
      </x:c>
      <x:c r="B28" s="90"/>
      <x:c r="C28" s="145" t="str">
        <x:f>IF('DAILY INPUT'!C11="","",'DAILY INPUT'!C11)</x:f>
      </x:c>
      <x:c r="D28" s="31"/>
      <x:c r="E28" s="31"/>
      <x:c r="F28" s="31"/>
      <x:c r="G28" s="31"/>
      <x:c r="H28" s="31"/>
    </x:row>
    <x:row r="29">
      <x:c r="A29" s="90" t="str">
        <x:v>Scheduled Hours</x:v>
      </x:c>
      <x:c r="B29" s="90"/>
      <x:c r="C29" s="147" t="str">
        <x:f>IF('DAILY INPUT'!C12="","",'DAILY INPUT'!C12)</x:f>
      </x:c>
      <x:c r="D29" s="31"/>
      <x:c r="E29" s="31"/>
      <x:c r="F29" s="31"/>
      <x:c r="G29" s="31"/>
      <x:c r="H29" s="31"/>
    </x:row>
    <x:row r="30">
      <x:c r="A30" s="90" t="str">
        <x:v>Actual Hours</x:v>
      </x:c>
      <x:c r="B30" s="90"/>
      <x:c r="C30" s="147" t="str">
        <x:f>IF('DAILY INPUT'!C13="","",'DAILY INPUT'!C13)</x:f>
      </x:c>
      <x:c r="D30" s="31"/>
      <x:c r="E30" s="31"/>
      <x:c r="F30" s="31"/>
      <x:c r="G30" s="31"/>
      <x:c r="H30" s="31"/>
    </x:row>
    <x:row r="31">
      <x:c r="A31" s="90" t="str">
        <x:v>Overtime Hours</x:v>
      </x:c>
      <x:c r="B31" s="90"/>
      <x:c r="C31" s="147" t="str">
        <x:f>IF('DAILY INPUT'!C14="","",'DAILY INPUT'!C14)</x:f>
      </x:c>
      <x:c r="D31" s="31"/>
      <x:c r="E31" s="31"/>
      <x:c r="F31" s="31"/>
      <x:c r="G31" s="31"/>
      <x:c r="H31" s="31"/>
    </x:row>
    <x:row r="32">
      <x:c r="A32" s="90" t="str">
        <x:v>Comps</x:v>
      </x:c>
      <x:c r="B32" s="90"/>
      <x:c r="C32" s="143" t="str">
        <x:f>IF('DAILY INPUT'!C16="","",'DAILY INPUT'!C16)</x:f>
      </x:c>
      <x:c r="D32" s="31"/>
      <x:c r="E32" s="31"/>
      <x:c r="F32" s="31"/>
      <x:c r="G32" s="31"/>
      <x:c r="H32" s="31"/>
    </x:row>
    <x:row r="33">
      <x:c r="A33" s="90" t="str">
        <x:v>Voids</x:v>
      </x:c>
      <x:c r="B33" s="90"/>
      <x:c r="C33" s="143" t="str">
        <x:f>IF('DAILY INPUT'!C18="","",'DAILY INPUT'!C18)</x:f>
      </x:c>
      <x:c r="D33" s="31"/>
      <x:c r="E33" s="31"/>
      <x:c r="F33" s="31"/>
      <x:c r="G33" s="31"/>
      <x:c r="H33" s="31"/>
    </x:row>
    <x:row r="34">
      <x:c r="A34" s="90" t="str">
        <x:v>Discounts</x:v>
      </x:c>
      <x:c r="B34" s="90"/>
      <x:c r="C34" s="143" t="str">
        <x:f>IF('DAILY INPUT'!C20="","",'DAILY INPUT'!C20)</x:f>
      </x:c>
      <x:c r="D34" s="31"/>
      <x:c r="E34" s="31"/>
      <x:c r="F34" s="31"/>
      <x:c r="G34" s="31"/>
      <x:c r="H34" s="31"/>
    </x:row>
    <x:row r="35">
      <x:c r="A35" s="90" t="str">
        <x:v>Call-outs</x:v>
      </x:c>
      <x:c r="B35" s="90"/>
      <x:c r="C35" s="31" t="str">
        <x:f>IF('DAILY INPUT'!C22="","",'DAILY INPUT'!C22)</x:f>
      </x:c>
      <x:c r="D35" s="31"/>
      <x:c r="E35" s="31"/>
      <x:c r="F35" s="31"/>
      <x:c r="G35" s="31"/>
      <x:c r="H35" s="31"/>
    </x:row>
    <x:row r="36">
      <x:c r="A36" s="90" t="str">
        <x:v>86'd Items</x:v>
      </x:c>
      <x:c r="B36" s="90"/>
      <x:c r="C36" s="31" t="str">
        <x:f>IF('DAILY INPUT'!C23="","",'DAILY INPUT'!C23)</x:f>
      </x:c>
      <x:c r="D36" s="31"/>
      <x:c r="E36" s="31"/>
      <x:c r="F36" s="31"/>
      <x:c r="G36" s="31"/>
      <x:c r="H36" s="31"/>
    </x:row>
    <x:row r="37">
      <x:c r="A37" s="90" t="str">
        <x:v>Inventory Issues</x:v>
      </x:c>
      <x:c r="B37" s="90"/>
      <x:c r="C37" s="31" t="str">
        <x:f>IF('DAILY INPUT'!C24="","",'DAILY INPUT'!C24)</x:f>
      </x:c>
      <x:c r="D37" s="31"/>
      <x:c r="E37" s="31"/>
      <x:c r="F37" s="31"/>
      <x:c r="G37" s="31"/>
      <x:c r="H37" s="31"/>
    </x:row>
    <x:row r="38">
      <x:c r="A38" s="90" t="str">
        <x:v>Maintenance Issues</x:v>
      </x:c>
      <x:c r="B38" s="90"/>
      <x:c r="C38" s="31" t="str">
        <x:f>IF('DAILY INPUT'!C25="","",'DAILY INPUT'!C25)</x:f>
      </x:c>
      <x:c r="D38" s="31"/>
      <x:c r="E38" s="31"/>
      <x:c r="F38" s="31"/>
      <x:c r="G38" s="31"/>
      <x:c r="H38" s="31"/>
    </x:row>
    <x:row r="39">
      <x:c r="A39" s="90" t="str">
        <x:v>Guest Issues</x:v>
      </x:c>
      <x:c r="B39" s="90"/>
      <x:c r="C39" s="31" t="str">
        <x:f>IF('DAILY INPUT'!C26="","",'DAILY INPUT'!C26)</x:f>
      </x:c>
      <x:c r="D39" s="31"/>
      <x:c r="E39" s="31"/>
      <x:c r="F39" s="31"/>
      <x:c r="G39" s="31"/>
      <x:c r="H39" s="31"/>
    </x:row>
    <x:row r="40">
      <x:c r="A40" s="90" t="str">
        <x:v>Manager Notes</x:v>
      </x:c>
      <x:c r="B40" s="90"/>
      <x:c r="C40" s="31" t="str">
        <x:f>IF('DAILY INPUT'!C27="","",'DAILY INPUT'!C27)</x:f>
      </x:c>
      <x:c r="D40" s="31"/>
      <x:c r="E40" s="31"/>
      <x:c r="F40" s="31"/>
      <x:c r="G40" s="31"/>
      <x:c r="H40" s="31"/>
    </x:row>
  </x:sheetData>
  <x:mergeCells>
    <x:mergeCell ref="A1:H2"/>
    <x:mergeCell ref="A3:H4"/>
    <x:mergeCell ref="A6:H20"/>
    <x:mergeCell ref="A22:H22"/>
    <x:mergeCell ref="A23:B23"/>
    <x:mergeCell ref="C23:H23"/>
    <x:mergeCell ref="A24:B24"/>
    <x:mergeCell ref="C24:H24"/>
    <x:mergeCell ref="A25:B25"/>
    <x:mergeCell ref="C25:H25"/>
    <x:mergeCell ref="A26:B26"/>
    <x:mergeCell ref="C26:H26"/>
    <x:mergeCell ref="A27:B27"/>
    <x:mergeCell ref="C27:H27"/>
    <x:mergeCell ref="A28:B28"/>
    <x:mergeCell ref="C28:H28"/>
    <x:mergeCell ref="A29:B29"/>
    <x:mergeCell ref="C29:H29"/>
    <x:mergeCell ref="A30:B30"/>
    <x:mergeCell ref="C30:H30"/>
    <x:mergeCell ref="A31:B31"/>
    <x:mergeCell ref="C31:H31"/>
    <x:mergeCell ref="A32:B32"/>
    <x:mergeCell ref="C32:H32"/>
    <x:mergeCell ref="A33:B33"/>
    <x:mergeCell ref="C33:H33"/>
    <x:mergeCell ref="A34:B34"/>
    <x:mergeCell ref="C34:H34"/>
    <x:mergeCell ref="A35:B35"/>
    <x:mergeCell ref="C35:H35"/>
    <x:mergeCell ref="A36:B36"/>
    <x:mergeCell ref="C36:H36"/>
    <x:mergeCell ref="A37:B37"/>
    <x:mergeCell ref="C37:H37"/>
    <x:mergeCell ref="A38:B38"/>
    <x:mergeCell ref="C38:H38"/>
    <x:mergeCell ref="A39:B39"/>
    <x:mergeCell ref="C39:H39"/>
    <x:mergeCell ref="A40:B40"/>
    <x:mergeCell ref="C40:H40"/>
  </x:mergeCells>
  <x:pageMargins left="0.7" right="0.7" top="0.75" bottom="0.75" header="0.3" footer="0.3"/>
</x:worksheet>
</file>